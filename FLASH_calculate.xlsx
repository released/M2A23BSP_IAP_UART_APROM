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Code\_Avery_M2A23\M2A23BSP_IAP_UART_APROM\"/>
    </mc:Choice>
  </mc:AlternateContent>
  <xr:revisionPtr revIDLastSave="0" documentId="13_ncr:1_{BD446251-94DC-4823-8385-AA424C01CE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ash ISP" sheetId="4" r:id="rId1"/>
    <sheet name="Flash IA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D8" i="4"/>
  <c r="D10" i="4"/>
  <c r="E10" i="4" s="1"/>
  <c r="D10" i="5"/>
  <c r="E10" i="5" s="1"/>
  <c r="D8" i="5"/>
  <c r="E8" i="5" s="1"/>
  <c r="C14" i="5"/>
  <c r="C5" i="5"/>
  <c r="C10" i="5" s="1"/>
  <c r="C3" i="5"/>
  <c r="C2" i="5"/>
  <c r="C5" i="4" l="1"/>
  <c r="C3" i="4" l="1"/>
  <c r="E8" i="4" l="1"/>
  <c r="C12" i="4" l="1"/>
  <c r="C8" i="4"/>
  <c r="C14" i="4"/>
  <c r="C2" i="4"/>
</calcChain>
</file>

<file path=xl/sharedStrings.xml><?xml version="1.0" encoding="utf-8"?>
<sst xmlns="http://schemas.openxmlformats.org/spreadsheetml/2006/main" count="31" uniqueCount="18">
  <si>
    <t>HEX</t>
    <phoneticPr fontId="2" type="noConversion"/>
  </si>
  <si>
    <t>target MCU flash (KB)</t>
    <phoneticPr fontId="2" type="noConversion"/>
  </si>
  <si>
    <t>LDROM size (KB)</t>
    <phoneticPr fontId="2" type="noConversion"/>
  </si>
  <si>
    <t>target to place LDROM in APROM (KB)</t>
    <phoneticPr fontId="2" type="noConversion"/>
  </si>
  <si>
    <t>target data flash size (KB)</t>
    <phoneticPr fontId="2" type="noConversion"/>
  </si>
  <si>
    <t>data flash start address</t>
    <phoneticPr fontId="2" type="noConversion"/>
  </si>
  <si>
    <t>LDROM in APROM start address</t>
    <phoneticPr fontId="2" type="noConversion"/>
  </si>
  <si>
    <t>MCU flash page size (Bytes)</t>
    <phoneticPr fontId="2" type="noConversion"/>
  </si>
  <si>
    <t>APROM size last 4 bytes</t>
    <phoneticPr fontId="2" type="noConversion"/>
  </si>
  <si>
    <t>HEX</t>
    <phoneticPr fontId="2" type="noConversion"/>
  </si>
  <si>
    <t xml:space="preserve">checksum address </t>
    <phoneticPr fontId="2" type="noConversion"/>
  </si>
  <si>
    <t>bootloader in APROM start address</t>
    <phoneticPr fontId="2" type="noConversion"/>
  </si>
  <si>
    <t>application in APROM start address</t>
    <phoneticPr fontId="2" type="noConversion"/>
  </si>
  <si>
    <t>size (KB)</t>
    <phoneticPr fontId="2" type="noConversion"/>
  </si>
  <si>
    <t>0x00</t>
    <phoneticPr fontId="2" type="noConversion"/>
  </si>
  <si>
    <t xml:space="preserve">*sreord use binary to generate checksum , and binary don’t have addreess </t>
    <phoneticPr fontId="2" type="noConversion"/>
  </si>
  <si>
    <t>checksum address *</t>
    <phoneticPr fontId="2" type="noConversion"/>
  </si>
  <si>
    <t>start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</si>
</sst>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0</xdr:row>
      <xdr:rowOff>53340</xdr:rowOff>
    </xdr:from>
    <xdr:to>
      <xdr:col>10</xdr:col>
      <xdr:colOff>213621</xdr:colOff>
      <xdr:row>24</xdr:row>
      <xdr:rowOff>145200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4240" y="53340"/>
          <a:ext cx="3010161" cy="4846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13</xdr:col>
      <xdr:colOff>335280</xdr:colOff>
      <xdr:row>7</xdr:row>
      <xdr:rowOff>83820</xdr:rowOff>
    </xdr:from>
    <xdr:ext cx="184731" cy="264560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780520" y="1470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10</xdr:col>
      <xdr:colOff>99060</xdr:colOff>
      <xdr:row>17</xdr:row>
      <xdr:rowOff>30480</xdr:rowOff>
    </xdr:from>
    <xdr:to>
      <xdr:col>14</xdr:col>
      <xdr:colOff>487680</xdr:colOff>
      <xdr:row>18</xdr:row>
      <xdr:rowOff>129540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0149840" y="3398520"/>
          <a:ext cx="2827020" cy="297180"/>
          <a:chOff x="10149840" y="3489960"/>
          <a:chExt cx="2827020" cy="297180"/>
        </a:xfrm>
      </xdr:grpSpPr>
      <xdr:cxnSp macro="">
        <xdr:nvCxnSpPr>
          <xdr:cNvPr id="8" name="直線單箭頭接點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 flipH="1">
            <a:off x="10149840" y="378714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文字方塊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10767060" y="3489960"/>
            <a:ext cx="2209800" cy="2819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LDROM in APROM start address</a:t>
            </a:r>
            <a:endParaRPr lang="zh-TW" altLang="en-US" sz="1100"/>
          </a:p>
        </xdr:txBody>
      </xdr:sp>
    </xdr:grpSp>
    <xdr:clientData/>
  </xdr:twoCellAnchor>
  <xdr:twoCellAnchor>
    <xdr:from>
      <xdr:col>10</xdr:col>
      <xdr:colOff>121920</xdr:colOff>
      <xdr:row>15</xdr:row>
      <xdr:rowOff>45720</xdr:rowOff>
    </xdr:from>
    <xdr:to>
      <xdr:col>14</xdr:col>
      <xdr:colOff>480060</xdr:colOff>
      <xdr:row>16</xdr:row>
      <xdr:rowOff>129540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172700" y="3017520"/>
          <a:ext cx="2796540" cy="281940"/>
          <a:chOff x="10172700" y="3108960"/>
          <a:chExt cx="2796540" cy="281940"/>
        </a:xfrm>
      </xdr:grpSpPr>
      <xdr:cxnSp macro="">
        <xdr:nvCxnSpPr>
          <xdr:cNvPr id="7" name="直線單箭頭接點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flipH="1">
            <a:off x="10172700" y="337566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文字方塊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0759440" y="3108960"/>
            <a:ext cx="2209800" cy="28194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data flash start address</a:t>
            </a:r>
            <a:endParaRPr lang="zh-TW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167640</xdr:rowOff>
    </xdr:from>
    <xdr:to>
      <xdr:col>14</xdr:col>
      <xdr:colOff>457200</xdr:colOff>
      <xdr:row>14</xdr:row>
      <xdr:rowOff>0</xdr:rowOff>
    </xdr:to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36580" y="2148840"/>
          <a:ext cx="2209800" cy="6248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TW" sz="1100"/>
            <a:t>LDROM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18</xdr:row>
      <xdr:rowOff>144780</xdr:rowOff>
    </xdr:from>
    <xdr:to>
      <xdr:col>14</xdr:col>
      <xdr:colOff>495300</xdr:colOff>
      <xdr:row>22</xdr:row>
      <xdr:rowOff>76200</xdr:rowOff>
    </xdr:to>
    <xdr:grpSp>
      <xdr:nvGrpSpPr>
        <xdr:cNvPr id="5" name="群組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0165080" y="3710940"/>
          <a:ext cx="2819400" cy="723900"/>
          <a:chOff x="10165080" y="3802380"/>
          <a:chExt cx="2819400" cy="723900"/>
        </a:xfrm>
      </xdr:grpSpPr>
      <xdr:sp macro="" textlink="">
        <xdr:nvSpPr>
          <xdr:cNvPr id="13" name="文字方塊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774680" y="3802380"/>
            <a:ext cx="2209800" cy="723900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application code</a:t>
            </a:r>
            <a:endParaRPr lang="zh-TW" altLang="en-US" sz="1100"/>
          </a:p>
        </xdr:txBody>
      </xdr:sp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H="1">
            <a:off x="10165080" y="449580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文字方塊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2184380" y="3810000"/>
            <a:ext cx="792480" cy="19812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TW" sz="1100"/>
              <a:t>checksum</a:t>
            </a:r>
            <a:endParaRPr lang="zh-TW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</xdr:colOff>
      <xdr:row>0</xdr:row>
      <xdr:rowOff>53340</xdr:rowOff>
    </xdr:from>
    <xdr:to>
      <xdr:col>10</xdr:col>
      <xdr:colOff>190761</xdr:colOff>
      <xdr:row>24</xdr:row>
      <xdr:rowOff>145200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1380" y="53340"/>
          <a:ext cx="3010161" cy="4846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13</xdr:col>
      <xdr:colOff>335280</xdr:colOff>
      <xdr:row>7</xdr:row>
      <xdr:rowOff>83820</xdr:rowOff>
    </xdr:from>
    <xdr:ext cx="184731" cy="26456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2214860" y="1470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10</xdr:col>
      <xdr:colOff>106680</xdr:colOff>
      <xdr:row>20</xdr:row>
      <xdr:rowOff>160020</xdr:rowOff>
    </xdr:from>
    <xdr:to>
      <xdr:col>14</xdr:col>
      <xdr:colOff>495300</xdr:colOff>
      <xdr:row>22</xdr:row>
      <xdr:rowOff>60960</xdr:rowOff>
    </xdr:to>
    <xdr:grpSp>
      <xdr:nvGrpSpPr>
        <xdr:cNvPr id="14" name="群組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10157460" y="4122420"/>
          <a:ext cx="2827020" cy="297180"/>
          <a:chOff x="10149840" y="3489960"/>
          <a:chExt cx="2827020" cy="297180"/>
        </a:xfrm>
      </xdr:grpSpPr>
      <xdr:cxnSp macro="">
        <xdr:nvCxnSpPr>
          <xdr:cNvPr id="4" name="直線單箭頭接點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 flipH="1">
            <a:off x="10149840" y="378714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文字方塊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0767060" y="3489960"/>
            <a:ext cx="2209800" cy="2819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LDROM in APROM start address</a:t>
            </a:r>
            <a:endParaRPr lang="zh-TW" altLang="en-US" sz="1100"/>
          </a:p>
        </xdr:txBody>
      </xdr:sp>
    </xdr:grpSp>
    <xdr:clientData/>
  </xdr:twoCellAnchor>
  <xdr:twoCellAnchor>
    <xdr:from>
      <xdr:col>10</xdr:col>
      <xdr:colOff>121920</xdr:colOff>
      <xdr:row>15</xdr:row>
      <xdr:rowOff>83820</xdr:rowOff>
    </xdr:from>
    <xdr:to>
      <xdr:col>14</xdr:col>
      <xdr:colOff>480060</xdr:colOff>
      <xdr:row>16</xdr:row>
      <xdr:rowOff>167640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0172700" y="3055620"/>
          <a:ext cx="2796540" cy="281940"/>
          <a:chOff x="10172700" y="3703320"/>
          <a:chExt cx="2796540" cy="281940"/>
        </a:xfrm>
      </xdr:grpSpPr>
      <xdr:cxnSp macro="">
        <xdr:nvCxnSpPr>
          <xdr:cNvPr id="3" name="直線單箭頭接點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flipH="1">
            <a:off x="10172700" y="397002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文字方塊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759440" y="3703320"/>
            <a:ext cx="2209800" cy="28194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data flash start address</a:t>
            </a:r>
            <a:endParaRPr lang="zh-TW" altLang="en-US" sz="1100"/>
          </a:p>
        </xdr:txBody>
      </xdr:sp>
    </xdr:grpSp>
    <xdr:clientData/>
  </xdr:twoCellAnchor>
  <xdr:twoCellAnchor>
    <xdr:from>
      <xdr:col>10</xdr:col>
      <xdr:colOff>106680</xdr:colOff>
      <xdr:row>16</xdr:row>
      <xdr:rowOff>190500</xdr:rowOff>
    </xdr:from>
    <xdr:to>
      <xdr:col>14</xdr:col>
      <xdr:colOff>487680</xdr:colOff>
      <xdr:row>20</xdr:row>
      <xdr:rowOff>121920</xdr:rowOff>
    </xdr:to>
    <xdr:grpSp>
      <xdr:nvGrpSpPr>
        <xdr:cNvPr id="13" name="群組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0157460" y="3360420"/>
          <a:ext cx="2819400" cy="723900"/>
          <a:chOff x="10165080" y="3802380"/>
          <a:chExt cx="2819400" cy="723900"/>
        </a:xfrm>
      </xdr:grpSpPr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10774680" y="3802380"/>
            <a:ext cx="2209800" cy="723900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zh-TW" sz="1100"/>
              <a:t>application code</a:t>
            </a:r>
            <a:endParaRPr lang="zh-TW" altLang="en-US" sz="1100"/>
          </a:p>
        </xdr:txBody>
      </xdr:sp>
      <xdr:cxnSp macro="">
        <xdr:nvCxnSpPr>
          <xdr:cNvPr id="10" name="直線單箭頭接點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 flipH="1">
            <a:off x="10165080" y="4495800"/>
            <a:ext cx="556260" cy="0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文字方塊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12184380" y="3810000"/>
            <a:ext cx="792480" cy="198120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TW" sz="1100"/>
              <a:t>checksum</a:t>
            </a:r>
            <a:endParaRPr lang="zh-TW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23" sqref="A23"/>
    </sheetView>
  </sheetViews>
  <sheetFormatPr defaultRowHeight="15.6" x14ac:dyDescent="0.3"/>
  <cols>
    <col min="1" max="1" width="45.44140625" style="1" bestFit="1" customWidth="1"/>
    <col min="2" max="2" width="8.88671875" style="1"/>
    <col min="3" max="3" width="19.109375" style="1" customWidth="1"/>
    <col min="4" max="4" width="22.6640625" style="1" customWidth="1"/>
    <col min="5" max="6" width="8.88671875" style="1"/>
    <col min="7" max="7" width="6" style="1" bestFit="1" customWidth="1"/>
    <col min="8" max="16384" width="8.88671875" style="1"/>
  </cols>
  <sheetData>
    <row r="1" spans="1:5" x14ac:dyDescent="0.3">
      <c r="C1" s="1" t="s">
        <v>0</v>
      </c>
    </row>
    <row r="2" spans="1:5" x14ac:dyDescent="0.3">
      <c r="A2" s="3" t="s">
        <v>1</v>
      </c>
      <c r="B2" s="4">
        <v>128</v>
      </c>
      <c r="C2" s="2" t="str">
        <f xml:space="preserve"> DEC2HEX(B2*1024)</f>
        <v>20000</v>
      </c>
    </row>
    <row r="3" spans="1:5" x14ac:dyDescent="0.3">
      <c r="A3" s="3" t="s">
        <v>7</v>
      </c>
      <c r="B3" s="4">
        <v>2048</v>
      </c>
      <c r="C3" s="2" t="str">
        <f xml:space="preserve"> DEC2HEX(B3)</f>
        <v>800</v>
      </c>
    </row>
    <row r="4" spans="1:5" x14ac:dyDescent="0.3">
      <c r="A4" s="8" t="s">
        <v>2</v>
      </c>
      <c r="B4" s="4">
        <v>4</v>
      </c>
    </row>
    <row r="5" spans="1:5" x14ac:dyDescent="0.3">
      <c r="A5" s="3" t="s">
        <v>3</v>
      </c>
      <c r="B5" s="4">
        <v>8</v>
      </c>
      <c r="C5" s="2" t="str">
        <f xml:space="preserve"> DEC2HEX(B5*1024)</f>
        <v>2000</v>
      </c>
    </row>
    <row r="6" spans="1:5" x14ac:dyDescent="0.3">
      <c r="A6" s="3" t="s">
        <v>4</v>
      </c>
      <c r="B6" s="4">
        <v>0</v>
      </c>
    </row>
    <row r="7" spans="1:5" x14ac:dyDescent="0.3">
      <c r="C7" s="1" t="s">
        <v>17</v>
      </c>
      <c r="D7" s="1" t="s">
        <v>13</v>
      </c>
      <c r="E7" s="1" t="s">
        <v>9</v>
      </c>
    </row>
    <row r="8" spans="1:5" x14ac:dyDescent="0.3">
      <c r="A8" s="5" t="s">
        <v>6</v>
      </c>
      <c r="C8" s="2" t="str">
        <f xml:space="preserve"> DEC2HEX((B2 - B6 - B5)*1024)</f>
        <v>1E000</v>
      </c>
      <c r="D8" s="2">
        <f>B5</f>
        <v>8</v>
      </c>
      <c r="E8" s="2" t="str">
        <f xml:space="preserve"> DEC2HEX(D8*1024)</f>
        <v>2000</v>
      </c>
    </row>
    <row r="10" spans="1:5" x14ac:dyDescent="0.3">
      <c r="A10" s="9" t="s">
        <v>12</v>
      </c>
      <c r="C10" s="2" t="s">
        <v>14</v>
      </c>
      <c r="D10" s="2">
        <f xml:space="preserve"> B2 - B6 - B5</f>
        <v>120</v>
      </c>
      <c r="E10" s="2" t="str">
        <f xml:space="preserve"> DEC2HEX(D10*1024)</f>
        <v>1E000</v>
      </c>
    </row>
    <row r="12" spans="1:5" x14ac:dyDescent="0.3">
      <c r="A12" s="10" t="s">
        <v>10</v>
      </c>
      <c r="C12" s="2" t="str">
        <f xml:space="preserve"> DEC2HEX((B2 - B6 - B5)*1024 - 4)</f>
        <v>1DFFC</v>
      </c>
      <c r="D12" s="10" t="s">
        <v>8</v>
      </c>
    </row>
    <row r="14" spans="1:5" x14ac:dyDescent="0.3">
      <c r="A14" s="6" t="s">
        <v>5</v>
      </c>
      <c r="C14" s="2" t="str">
        <f>DEC2HEX((B2 - B6)*1024)</f>
        <v>20000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A22" sqref="A22"/>
    </sheetView>
  </sheetViews>
  <sheetFormatPr defaultRowHeight="15.6" x14ac:dyDescent="0.3"/>
  <cols>
    <col min="1" max="1" width="45.44140625" style="1" bestFit="1" customWidth="1"/>
    <col min="2" max="2" width="8.88671875" style="1"/>
    <col min="3" max="3" width="19.109375" style="1" customWidth="1"/>
    <col min="4" max="4" width="22.6640625" style="1" customWidth="1"/>
    <col min="5" max="6" width="8.88671875" style="1"/>
    <col min="7" max="7" width="6" style="1" bestFit="1" customWidth="1"/>
    <col min="8" max="16384" width="8.88671875" style="1"/>
  </cols>
  <sheetData>
    <row r="1" spans="1:5" x14ac:dyDescent="0.3">
      <c r="C1" s="1" t="s">
        <v>0</v>
      </c>
    </row>
    <row r="2" spans="1:5" x14ac:dyDescent="0.3">
      <c r="A2" s="3" t="s">
        <v>1</v>
      </c>
      <c r="B2" s="4">
        <v>128</v>
      </c>
      <c r="C2" s="2" t="str">
        <f xml:space="preserve"> DEC2HEX(B2*1024)</f>
        <v>20000</v>
      </c>
    </row>
    <row r="3" spans="1:5" x14ac:dyDescent="0.3">
      <c r="A3" s="3" t="s">
        <v>7</v>
      </c>
      <c r="B3" s="4">
        <v>2048</v>
      </c>
      <c r="C3" s="2" t="str">
        <f xml:space="preserve"> DEC2HEX(B3)</f>
        <v>800</v>
      </c>
    </row>
    <row r="4" spans="1:5" x14ac:dyDescent="0.3">
      <c r="A4" s="8" t="s">
        <v>2</v>
      </c>
      <c r="B4" s="4">
        <v>0</v>
      </c>
    </row>
    <row r="5" spans="1:5" x14ac:dyDescent="0.3">
      <c r="A5" s="3" t="s">
        <v>3</v>
      </c>
      <c r="B5" s="4">
        <v>12</v>
      </c>
      <c r="C5" s="2" t="str">
        <f xml:space="preserve"> DEC2HEX(B5*1024)</f>
        <v>3000</v>
      </c>
    </row>
    <row r="6" spans="1:5" x14ac:dyDescent="0.3">
      <c r="A6" s="3" t="s">
        <v>4</v>
      </c>
      <c r="B6" s="4">
        <v>0</v>
      </c>
    </row>
    <row r="7" spans="1:5" x14ac:dyDescent="0.3">
      <c r="C7" s="1" t="s">
        <v>17</v>
      </c>
      <c r="D7" s="1" t="s">
        <v>13</v>
      </c>
      <c r="E7" s="1" t="s">
        <v>0</v>
      </c>
    </row>
    <row r="8" spans="1:5" x14ac:dyDescent="0.3">
      <c r="A8" s="5" t="s">
        <v>11</v>
      </c>
      <c r="C8" s="2" t="s">
        <v>14</v>
      </c>
      <c r="D8" s="2">
        <f>B5</f>
        <v>12</v>
      </c>
      <c r="E8" s="2" t="str">
        <f xml:space="preserve"> DEC2HEX(D8*1024)</f>
        <v>3000</v>
      </c>
    </row>
    <row r="10" spans="1:5" x14ac:dyDescent="0.3">
      <c r="A10" s="9" t="s">
        <v>12</v>
      </c>
      <c r="C10" s="2" t="str">
        <f>C5</f>
        <v>3000</v>
      </c>
      <c r="D10" s="2">
        <f xml:space="preserve"> B2 - B6 - B5</f>
        <v>116</v>
      </c>
      <c r="E10" s="2" t="str">
        <f xml:space="preserve"> DEC2HEX(D10*1024)</f>
        <v>1D000</v>
      </c>
    </row>
    <row r="12" spans="1:5" x14ac:dyDescent="0.3">
      <c r="A12" s="10" t="s">
        <v>16</v>
      </c>
      <c r="C12" s="2" t="str">
        <f xml:space="preserve"> DEC2HEX((B2 - B6 - B5 + B5)*1024 - 4)</f>
        <v>1FFFC</v>
      </c>
      <c r="D12" s="10" t="s">
        <v>8</v>
      </c>
    </row>
    <row r="13" spans="1:5" x14ac:dyDescent="0.3">
      <c r="A13" s="7" t="s">
        <v>15</v>
      </c>
    </row>
    <row r="14" spans="1:5" x14ac:dyDescent="0.3">
      <c r="A14" s="6" t="s">
        <v>5</v>
      </c>
      <c r="C14" s="2" t="str">
        <f>DEC2HEX((B2 - B6)*1024)</f>
        <v>20000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Flash ISP</vt:lpstr>
      <vt:lpstr>Flash IAP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Chen(陳凱盈)(TNA)</dc:creator>
  <cp:lastModifiedBy>Avery Chen(陳凱盈)(TNA)</cp:lastModifiedBy>
  <dcterms:created xsi:type="dcterms:W3CDTF">2021-12-23T01:12:18Z</dcterms:created>
  <dcterms:modified xsi:type="dcterms:W3CDTF">2026-01-27T01:17:35Z</dcterms:modified>
</cp:coreProperties>
</file>